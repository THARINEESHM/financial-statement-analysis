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0" documentId="8_{CD944772-F72F-46C0-B39F-4F39B5028280}" xr6:coauthVersionLast="47" xr6:coauthVersionMax="47" xr10:uidLastSave="{00000000-0000-0000-0000-000000000000}"/>
  <bookViews>
    <workbookView xWindow="0" yWindow="0" windowWidth="0" windowHeight="0" activeTab="5" xr2:uid="{00000000-000D-0000-FFFF-FFFF00000000}"/>
  </bookViews>
  <sheets>
    <sheet name="Cover" sheetId="1" r:id="rId1"/>
    <sheet name="Raw_Data" sheetId="2" r:id="rId2"/>
    <sheet name="Ratios_Calc" sheetId="3" r:id="rId3"/>
    <sheet name="Trend_Analysis" sheetId="4" r:id="rId4"/>
    <sheet name="Insights" sheetId="5" r:id="rId5"/>
    <sheet name="Executive_Summary" sheetId="6" r:id="rId6"/>
    <sheet name="Source_Notes"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3" l="1"/>
  <c r="E5" i="3"/>
  <c r="E4" i="3"/>
  <c r="D6" i="3"/>
  <c r="D5" i="3"/>
  <c r="D4" i="3"/>
  <c r="C6" i="3"/>
  <c r="C5" i="3"/>
  <c r="C4" i="3"/>
  <c r="E18" i="3"/>
  <c r="D18" i="3"/>
  <c r="I18" i="3" s="1"/>
  <c r="C18" i="3"/>
  <c r="H18" i="3" s="1"/>
  <c r="E17" i="3"/>
  <c r="D17" i="3"/>
  <c r="C17" i="3"/>
  <c r="E16" i="3"/>
  <c r="D16" i="3"/>
  <c r="C16" i="3"/>
  <c r="E13" i="3"/>
  <c r="D13" i="3"/>
  <c r="C13" i="3"/>
  <c r="E12" i="3"/>
  <c r="D12" i="3"/>
  <c r="C12" i="3"/>
  <c r="E11" i="3"/>
  <c r="D11" i="3"/>
  <c r="C11" i="3"/>
  <c r="K61" i="4" s="1"/>
  <c r="E10" i="3"/>
  <c r="D10" i="3"/>
  <c r="C10" i="3"/>
  <c r="K60" i="4" s="1"/>
  <c r="E9" i="3"/>
  <c r="D9" i="3"/>
  <c r="C9" i="3"/>
  <c r="K59" i="4" s="1"/>
  <c r="K55" i="4"/>
  <c r="K54" i="4"/>
  <c r="K53" i="4"/>
  <c r="L53" i="4" l="1"/>
  <c r="H4" i="3"/>
  <c r="B9" i="6"/>
  <c r="M53" i="4"/>
  <c r="I4" i="3"/>
  <c r="F4" i="3"/>
  <c r="L54" i="4"/>
  <c r="H5" i="3"/>
  <c r="B10" i="6"/>
  <c r="M54" i="4"/>
  <c r="I5" i="3"/>
  <c r="F5" i="3"/>
  <c r="L55" i="4"/>
  <c r="H6" i="3"/>
  <c r="M55" i="4"/>
  <c r="I6" i="3"/>
  <c r="F6" i="3"/>
  <c r="L59" i="4"/>
  <c r="H9" i="3"/>
  <c r="M59" i="4"/>
  <c r="I9" i="3"/>
  <c r="F9" i="3"/>
  <c r="L60" i="4"/>
  <c r="H10" i="3"/>
  <c r="M60" i="4"/>
  <c r="I10" i="3"/>
  <c r="F10" i="3"/>
  <c r="L61" i="4"/>
  <c r="H11" i="3"/>
  <c r="B11" i="6"/>
  <c r="M61" i="4"/>
  <c r="I11" i="3"/>
  <c r="F11" i="3"/>
  <c r="H12" i="3"/>
  <c r="I12" i="3"/>
  <c r="F12" i="3"/>
  <c r="H13" i="3"/>
  <c r="B12" i="6"/>
  <c r="I13" i="3"/>
  <c r="F13" i="3"/>
  <c r="K65" i="4"/>
  <c r="H16" i="3"/>
  <c r="L65" i="4"/>
  <c r="I16" i="3"/>
  <c r="B13" i="6"/>
  <c r="M65" i="4"/>
  <c r="F16" i="3"/>
  <c r="K66" i="4"/>
  <c r="H17" i="3"/>
  <c r="L66" i="4"/>
  <c r="I17" i="3"/>
  <c r="M66" i="4"/>
  <c r="F17" i="3"/>
  <c r="F18" i="3"/>
</calcChain>
</file>

<file path=xl/sharedStrings.xml><?xml version="1.0" encoding="utf-8"?>
<sst xmlns="http://schemas.openxmlformats.org/spreadsheetml/2006/main" count="196" uniqueCount="152">
  <si>
    <t>FINANCIAL STATEMENT ANALYSIS</t>
  </si>
  <si>
    <t>Infosys Limited (NSE: INFY)</t>
  </si>
  <si>
    <t>FY2023  |  FY2024  |  FY2025</t>
  </si>
  <si>
    <t>Prepared by: Tharineesh M</t>
  </si>
  <si>
    <t>B.Com  |  SAP S/4HANA Certified Associate — Financial Accounting</t>
  </si>
  <si>
    <t>Date: Apr 2026</t>
  </si>
  <si>
    <t>Contents:</t>
  </si>
  <si>
    <t>1. Raw_Data          —  Source financial figures extracted from annual reports</t>
  </si>
  <si>
    <t>2. Ratios_Calc       —  11 ratios calculated across 3 years</t>
  </si>
  <si>
    <t>3. Trend_Analysis    —  Visual charts for each ratio category</t>
  </si>
  <si>
    <t>4. Insights          —  Business interpretation and key observations</t>
  </si>
  <si>
    <t>5. Executive_Summary —  One-page summary of findings</t>
  </si>
  <si>
    <t>6. Source_Notes      —  Data sources, page references, and assumptions</t>
  </si>
  <si>
    <t>Item</t>
  </si>
  <si>
    <t>FY2023</t>
  </si>
  <si>
    <t>FY2024</t>
  </si>
  <si>
    <t>FY2025</t>
  </si>
  <si>
    <t>Unit</t>
  </si>
  <si>
    <t>BALANCE SHEET DATA</t>
  </si>
  <si>
    <t>Current Assets</t>
  </si>
  <si>
    <t>₹ Crores</t>
  </si>
  <si>
    <t>Inventories</t>
  </si>
  <si>
    <t>Cash and Cash Equivalents</t>
  </si>
  <si>
    <t>Total Assets</t>
  </si>
  <si>
    <t>Current Liabilities</t>
  </si>
  <si>
    <t>Total Debt (Borrowings)</t>
  </si>
  <si>
    <t>Total Equity</t>
  </si>
  <si>
    <t>P&amp;L DATA</t>
  </si>
  <si>
    <t>Revenue from Operations</t>
  </si>
  <si>
    <t>Gross Profit</t>
  </si>
  <si>
    <t>Operating Profit (EBIT)</t>
  </si>
  <si>
    <t>Finance Costs (Interest)</t>
  </si>
  <si>
    <t>Net Profit</t>
  </si>
  <si>
    <t>Source: Infosys Annual Reports FY2023–FY2025, Standalone Financial Statements</t>
  </si>
  <si>
    <t>Ratio</t>
  </si>
  <si>
    <t>Formula</t>
  </si>
  <si>
    <t>Trend (FY23→25)</t>
  </si>
  <si>
    <t>Interpretation</t>
  </si>
  <si>
    <t>FY23→24 Change</t>
  </si>
  <si>
    <t>FY24→25 Change</t>
  </si>
  <si>
    <t>SECTION A — LIQUIDITY RATIOS</t>
  </si>
  <si>
    <t>Current Ratio</t>
  </si>
  <si>
    <t>Current Assets / Current Liabilities</t>
  </si>
  <si>
    <t>Measures ability to meet short-term obligations. Healthy if above 1.5.</t>
  </si>
  <si>
    <t>Quick Ratio</t>
  </si>
  <si>
    <t>(Current Assets - Inventories) / Current Liabilities</t>
  </si>
  <si>
    <t>Stricter liquidity test excluding inventory. Above 1.0 is healthy.</t>
  </si>
  <si>
    <t>Cash Ratio</t>
  </si>
  <si>
    <t>Cash and Equivalents / Current Liabilities</t>
  </si>
  <si>
    <t>Most conservative liquidity measure. Shows immediate payment ability.</t>
  </si>
  <si>
    <t>SECTION B — PROFITABILITY RATIOS</t>
  </si>
  <si>
    <t>Gross Profit Margin</t>
  </si>
  <si>
    <t>Gross Profit / Revenue</t>
  </si>
  <si>
    <t>Shows efficiency in service delivery before overhead. Higher is better.</t>
  </si>
  <si>
    <t>Operating Profit Margin</t>
  </si>
  <si>
    <t>Operating Profit (EBIT) / Revenue</t>
  </si>
  <si>
    <t>Shows operational efficiency after all operating expenses.</t>
  </si>
  <si>
    <t>Net Profit Margin</t>
  </si>
  <si>
    <t>Net Profit / Revenue</t>
  </si>
  <si>
    <t>Final profitability after all costs including tax and interest.</t>
  </si>
  <si>
    <t>Return on Assets (ROA)</t>
  </si>
  <si>
    <t>Net Profit / Total Assets</t>
  </si>
  <si>
    <t>How efficiently total assets generate profit. Higher is better.</t>
  </si>
  <si>
    <t>Return on Equity (ROE)</t>
  </si>
  <si>
    <t>Net Profit / Total Equity</t>
  </si>
  <si>
    <t>Returns generated for shareholders. Key metric for investors.</t>
  </si>
  <si>
    <t>SECTION C — LEVERAGE RATIOS</t>
  </si>
  <si>
    <t>Debt to Equity</t>
  </si>
  <si>
    <t>Total Debt / Total Equity</t>
  </si>
  <si>
    <t>Lower D/E means less financial risk. Below 1.0 is conservative. Infosys = 0 (debt-free).</t>
  </si>
  <si>
    <t>Debt Ratio</t>
  </si>
  <si>
    <t>Total Debt / Total Assets</t>
  </si>
  <si>
    <t>Proportion of assets financed by debt. 0.0 = fully equity-financed.</t>
  </si>
  <si>
    <t>Interest Coverage Ratio</t>
  </si>
  <si>
    <t>EBIT / Finance Costs (ICR)</t>
  </si>
  <si>
    <t>Finance costs = lease interest only (no traditional debt). Above 3x is healthy.</t>
  </si>
  <si>
    <t>FINANCIAL INSIGHTS — INFOSYS LIMITED (FY2023–FY2025)</t>
  </si>
  <si>
    <t>LIQUIDITY INSIGHTS</t>
  </si>
  <si>
    <t>1.</t>
  </si>
  <si>
    <t>Infosys maintained a strong Current Ratio above 1.90x across all 3 years, improving significantly from 1.90x in FY2023 to 2.62x in FY2024, before moderating to 2.43x in FY2025. This reflects consistently strong ability to meet short-term obligations without liquidity stress.</t>
  </si>
  <si>
    <t>2.</t>
  </si>
  <si>
    <t>The Quick Ratio is identical to the Current Ratio in all three years because Infosys, being an IT services company, carries near-zero inventory. This means all current assets are inherently liquid — a structural advantage of the services model.</t>
  </si>
  <si>
    <t>3.</t>
  </si>
  <si>
    <t>Cash and Cash Equivalents nearly doubled from ₹6,534 Cr in FY2023 to ₹14,265 Cr in FY2025, reflecting strong free cash flow generation. The Cash Ratio improved from 0.24x to 0.45x, indicating significantly enhanced immediate payment capacity over the period.</t>
  </si>
  <si>
    <t>PROFITABILITY INSIGHTS</t>
  </si>
  <si>
    <t>4.</t>
  </si>
  <si>
    <t>Gross Profit Margin expanded consistently from 34.0% in FY2023 to 36.4% in FY2025, indicating improving efficiency in service delivery. Revenue grew at a faster pace than the combined employee and sub-contractor cost base, reflecting pricing power and operational discipline.</t>
  </si>
  <si>
    <t>5.</t>
  </si>
  <si>
    <t>Operating Profit Margin peaked at 28.1% in FY2024 before declining to 26.1% in FY2025. The FY2025 compression was driven by a surge in software package costs (₹6,891 Cr in FY2024 to ₹9,617 Cr in FY2025), reflecting higher AI/technology infrastructure investment.</t>
  </si>
  <si>
    <t>6.</t>
  </si>
  <si>
    <t>The gap between Gross Margin (36.4%) and Net Margin (18.7%) in FY2025 is approximately 17.7%, representing SG&amp;A, depreciation, tax, and other overhead. This gap widened from FY2024's ~14.0%, indicating that below-the-gross-profit costs grew disproportionately in FY2025.</t>
  </si>
  <si>
    <t>7.</t>
  </si>
  <si>
    <t>Return on Equity declined from 34.3% in FY2023 to 29.3% in FY2025, as equity grew faster than net profit. ROA also moderated from 23.0% to 20.5%. Both metrics remain strong in absolute terms and are above typical IT sector benchmarks.</t>
  </si>
  <si>
    <t>LEVERAGE INSIGHTS</t>
  </si>
  <si>
    <t>Infosys operates with a completely debt-free capital structure across all three years — the Debt-to-Equity ratio is 0.0x and the Debt Ratio is 0.0 in FY2023, FY2024, and FY2025. The company relies entirely on internal accruals and equity for growth financing. Finance costs present in the P&amp;L arise solely from lease liabilities (Ind AS 116), not traditional borrowings.</t>
  </si>
  <si>
    <t>OVERALL BUSINESS CONCLUSION</t>
  </si>
  <si>
    <t>Infosys demonstrated strong and broadly stable financial health between FY2023 and FY2025. Liquidity improved significantly — the Current Ratio rose from 1.90x to 2.43x and cash holdings nearly doubled — supported by robust free cash flow generation. Gross profitability improved consistently as the company managed its core cost base effectively, but operating and net margins faced pressure in FY2025 from rising software and technology infrastructure spend, partly related to AI capability investment. The debt-free balance sheet confirms minimal financial risk, and returns to shareholders remain strong despite a natural moderation as the equity base expanded through retained earnings. Overall, the company maintains solid financial fundamentals suited for long-term stable growth.</t>
  </si>
  <si>
    <t>EXECUTIVE SUMMARY</t>
  </si>
  <si>
    <t>Financial Statement Analysis — Infosys Limited</t>
  </si>
  <si>
    <t>Period: FY2023 to FY2025  |  Prepared by: Tharineesh M</t>
  </si>
  <si>
    <t>──────────────────────────────────────────────────────────────────────</t>
  </si>
  <si>
    <t>OBJECTIVE</t>
  </si>
  <si>
    <t>To analyze Infosys Limited's 3-year standalone financial performance using key accounting ratios across liquidity, profitability, and leverage dimensions.</t>
  </si>
  <si>
    <t>KEY RATIOS SNAPSHOT (FY2025)</t>
  </si>
  <si>
    <t>Liquidity: Current Ratio</t>
  </si>
  <si>
    <t>Liquidity: Quick Ratio</t>
  </si>
  <si>
    <t>Profitability: Net Profit Margin</t>
  </si>
  <si>
    <t>Profitability: Return on Equity</t>
  </si>
  <si>
    <t>Leverage: Debt to Equity</t>
  </si>
  <si>
    <t>KEY FINDINGS</t>
  </si>
  <si>
    <t>1. Liquidity Improvement</t>
  </si>
  <si>
    <t>Current Ratio rose from 1.90x (FY2023) to 2.43x (FY2025), and cash holdings nearly doubled to ₹14,265 Cr, reflecting strong free cash flow generation.</t>
  </si>
  <si>
    <t>2. Gross Margin Expansion</t>
  </si>
  <si>
    <t>Gross Profit Margin improved from 34.0% to 36.4% over 3 years, indicating improving service delivery efficiency and cost discipline on core operations.</t>
  </si>
  <si>
    <t>3. Net Margin Pressure in FY2025</t>
  </si>
  <si>
    <t>Net Profit Margin declined from 21.1% (FY2024) to 18.7% (FY2025) as software package and AI infrastructure costs surged, compressing the operating line.</t>
  </si>
  <si>
    <t>4. Strong Shareholder Returns</t>
  </si>
  <si>
    <t>Return on Equity remained above 29% in FY2025 despite pressure, and ROA of 20.5% reflects efficient asset utilization across the 3-year period.</t>
  </si>
  <si>
    <t>5. Debt-Free Capital Structure</t>
  </si>
  <si>
    <t>Zero borrowings across all 3 years — Infosys is entirely equity-financed, confirming minimal financial risk and conservative capital management.</t>
  </si>
  <si>
    <t>CONCLUSION</t>
  </si>
  <si>
    <t>Infosys demonstrated strong financial health between FY2023 and FY2025. Liquidity improved substantially, supported by robust cash generation, while gross profitability expanded consistently. Net margins faced moderate pressure in FY2025 from rising technology and AI investment costs — a strategic trade-off rather than a structural weakness. The debt-free balance sheet and consistently strong ROE confirm that Infosys remains a financially sound, low-risk company suited to long-term stable growth. For anyone working with or investing in Infosys, the key watchpoint for FY2026 is whether the increased technology investment begins to translate into margin recovery.</t>
  </si>
  <si>
    <t>Data Source: Infosys Annual Reports FY2023, FY2024, FY2025 (Standalone Financial Statements)</t>
  </si>
  <si>
    <t>Tools Used: Microsoft Excel — IF, cross-sheet references, percentage change formulas, Line/Column/Bar charts</t>
  </si>
  <si>
    <t>#</t>
  </si>
  <si>
    <t>Data Item</t>
  </si>
  <si>
    <t>Source Document</t>
  </si>
  <si>
    <t>Page No.</t>
  </si>
  <si>
    <t>URL</t>
  </si>
  <si>
    <t>FY2025 Balance Sheet</t>
  </si>
  <si>
    <t>Infosys Annual Report 2024-25, Standalone FS</t>
  </si>
  <si>
    <t>222</t>
  </si>
  <si>
    <t>https://www.infosys.com/investors/reports-filings/annual-report/annual-reports.html</t>
  </si>
  <si>
    <t>FY2025 P&amp;L Statement</t>
  </si>
  <si>
    <t>223</t>
  </si>
  <si>
    <t>FY2024 Balance Sheet</t>
  </si>
  <si>
    <t>Infosys Annual Report 2023-24, Standalone FS</t>
  </si>
  <si>
    <t>217</t>
  </si>
  <si>
    <t>FY2024 P&amp;L Statement</t>
  </si>
  <si>
    <t>218</t>
  </si>
  <si>
    <t>FY2023 Balance Sheet</t>
  </si>
  <si>
    <t>Infosys Annual Report 2022-23, Standalone FS</t>
  </si>
  <si>
    <t>219</t>
  </si>
  <si>
    <t>FY2023 P&amp;L Statement</t>
  </si>
  <si>
    <t>221</t>
  </si>
  <si>
    <t>ASSUMPTIONS</t>
  </si>
  <si>
    <t>1. Gross Profit was derived as [Revenue from Operations − Employee Benefit Expenses − Cost of Technical Sub-Contractors] because Infosys does not separately report Cost of Goods Sold. This approach is documented in all three annual reports under the function-wise P&amp;L classification (Notes to Accounts).</t>
  </si>
  <si>
    <t>2. Total Debt (Borrowings) is NIL for all three years. Infosys carries no Short-term or Long-term bank borrowings on its standalone balance sheet. Finance Costs reported in the P&amp;L relate exclusively to lease liabilities under Ind AS 116.</t>
  </si>
  <si>
    <t>3. All figures are in Indian Rupees (₹ Crores) as reported in the respective Standalone Financial Statements. No currency conversion has been applied.</t>
  </si>
  <si>
    <t>4. EBIT (Operating Profit) has been derived as Profit before Tax + Finance Costs, consistent with the definition of Profit before Finance Costs and Tax.</t>
  </si>
  <si>
    <t>5. Inventories are NIL for all three years, as expected for an IT services company. Current Ratio and Quick Ratio are therefore identical.</t>
  </si>
  <si>
    <t>6. FY2023 figures were cross-verified between the FY2022-23 Annual Report (primary) and the FY2023-24 Annual Report (comparative year). Both sources confirm identical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</si>
</sst>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font>
      <sz val="11"/>
      <color theme="1"/>
      <name val="Calibri"/>
      <family val="2"/>
      <scheme val="minor"/>
    </font>
    <font>
      <b/>
      <sz val="12"/>
      <color rgb="FF1F3864"/>
      <name val="Arial"/>
    </font>
    <font>
      <sz val="11"/>
      <color rgb="FF1F3864"/>
      <name val="Arial"/>
    </font>
    <font>
      <b/>
      <sz val="11"/>
      <color rgb="FF1F3864"/>
      <name val="Arial"/>
    </font>
    <font>
      <sz val="10"/>
      <color rgb="FF000000"/>
      <name val="Arial"/>
    </font>
    <font>
      <b/>
      <sz val="11"/>
      <color rgb="FFFFFFFF"/>
      <name val="Arial"/>
    </font>
    <font>
      <b/>
      <sz val="10"/>
      <color rgb="FFFFFFFF"/>
      <name val="Arial"/>
    </font>
    <font>
      <sz val="10"/>
      <name val="Arial"/>
    </font>
    <font>
      <sz val="10"/>
      <color rgb="FF0000FF"/>
      <name val="Arial"/>
    </font>
    <font>
      <sz val="9"/>
      <color rgb="FF808080"/>
      <name val="Arial"/>
    </font>
    <font>
      <b/>
      <sz val="14"/>
      <color rgb="FF1F3864"/>
      <name val="Arial"/>
    </font>
    <font>
      <b/>
      <sz val="10"/>
      <color rgb="FF1F3864"/>
      <name val="Arial"/>
    </font>
    <font>
      <b/>
      <sz val="13"/>
      <color rgb="FFFFFFFF"/>
      <name val="Arial"/>
    </font>
    <font>
      <b/>
      <sz val="14"/>
      <color theme="4" tint="-0.499984740745262"/>
      <name val="Arial"/>
    </font>
    <font>
      <sz val="11"/>
      <color theme="4" tint="-0.499984740745262"/>
      <name val="Calibri"/>
      <family val="2"/>
      <scheme val="minor"/>
    </font>
    <font>
      <sz val="11"/>
      <color theme="8" tint="-0.249977111117893"/>
      <name val="Arial"/>
    </font>
    <font>
      <sz val="11"/>
      <color theme="8" tint="-0.249977111117893"/>
      <name val="Calibri"/>
      <family val="2"/>
      <scheme val="minor"/>
    </font>
    <font>
      <sz val="10"/>
      <color theme="1"/>
      <name val="Arial"/>
    </font>
    <font>
      <b/>
      <sz val="10"/>
      <color theme="1"/>
      <name val="Arial"/>
    </font>
    <font>
      <i/>
      <sz val="9"/>
      <color theme="1"/>
      <name val="Arial"/>
    </font>
    <font>
      <sz val="9"/>
      <color theme="1"/>
      <name val="Arial"/>
    </font>
  </fonts>
  <fills count="6">
    <fill>
      <patternFill patternType="none"/>
    </fill>
    <fill>
      <patternFill patternType="gray125"/>
    </fill>
    <fill>
      <patternFill patternType="solid">
        <fgColor rgb="FFF2F2F2"/>
        <bgColor rgb="FFF2F2F2"/>
      </patternFill>
    </fill>
    <fill>
      <patternFill patternType="solid">
        <fgColor rgb="FF1F3864"/>
        <bgColor rgb="FF1F3864"/>
      </patternFill>
    </fill>
    <fill>
      <patternFill patternType="solid">
        <fgColor rgb="FF2E4A7A"/>
        <bgColor rgb="FF2E4A7A"/>
      </patternFill>
    </fill>
    <fill>
      <patternFill patternType="solid">
        <fgColor rgb="FFD9E1F2"/>
        <bgColor rgb="FFD9E1F2"/>
      </patternFill>
    </fill>
  </fills>
  <borders count="1">
    <border>
      <left/>
      <right/>
      <top/>
      <bottom/>
      <diagonal/>
    </border>
  </borders>
  <cellStyleXfs count="1">
    <xf numFmtId="0" fontId="0" fillId="0" borderId="0"/>
  </cellStyleXfs>
  <cellXfs count="42">
    <xf numFmtId="0" fontId="0" fillId="0" borderId="0" xfId="0"/>
    <xf numFmtId="0" fontId="0" fillId="2" borderId="0" xfId="0" applyFill="1"/>
    <xf numFmtId="0" fontId="2" fillId="2" borderId="0" xfId="0" applyFont="1" applyFill="1"/>
    <xf numFmtId="0" fontId="3" fillId="2" borderId="0" xfId="0" applyFont="1" applyFill="1"/>
    <xf numFmtId="0" fontId="4" fillId="2" borderId="0" xfId="0" applyFont="1" applyFill="1"/>
    <xf numFmtId="0" fontId="5" fillId="3" borderId="0" xfId="0" applyFont="1" applyFill="1" applyAlignment="1">
      <alignment horizontal="center" vertical="center" wrapText="1"/>
    </xf>
    <xf numFmtId="0" fontId="6" fillId="4" borderId="0" xfId="0" applyFont="1" applyFill="1"/>
    <xf numFmtId="0" fontId="0" fillId="4" borderId="0" xfId="0" applyFill="1"/>
    <xf numFmtId="0" fontId="7" fillId="0" borderId="0" xfId="0" applyFont="1"/>
    <xf numFmtId="3" fontId="8" fillId="0" borderId="0" xfId="0" applyNumberFormat="1" applyFont="1" applyAlignment="1">
      <alignment horizontal="right"/>
    </xf>
    <xf numFmtId="0" fontId="6" fillId="3" borderId="0" xfId="0" applyFont="1" applyFill="1" applyAlignment="1">
      <alignment horizontal="center" vertical="center" wrapText="1"/>
    </xf>
    <xf numFmtId="2" fontId="4" fillId="0" borderId="0" xfId="0" applyNumberFormat="1" applyFont="1" applyAlignment="1">
      <alignment horizontal="right"/>
    </xf>
    <xf numFmtId="0" fontId="4" fillId="0" borderId="0" xfId="0" applyFont="1" applyAlignment="1">
      <alignment horizontal="center"/>
    </xf>
    <xf numFmtId="164" fontId="4" fillId="0" borderId="0" xfId="0" applyNumberFormat="1" applyFont="1" applyAlignment="1">
      <alignment horizontal="right"/>
    </xf>
    <xf numFmtId="0" fontId="11" fillId="0" borderId="0" xfId="0" applyFont="1" applyAlignment="1">
      <alignment horizontal="right" vertical="top"/>
    </xf>
    <xf numFmtId="0" fontId="7" fillId="0" borderId="0" xfId="0" applyFont="1" applyAlignment="1">
      <alignment vertical="top" wrapText="1"/>
    </xf>
    <xf numFmtId="0" fontId="7" fillId="0" borderId="0" xfId="0" applyFont="1" applyAlignment="1">
      <alignment wrapText="1"/>
    </xf>
    <xf numFmtId="0" fontId="11" fillId="0" borderId="0" xfId="0" applyFont="1"/>
    <xf numFmtId="0" fontId="7" fillId="0" borderId="0" xfId="0" applyFont="1" applyAlignment="1">
      <alignment horizontal="center"/>
    </xf>
    <xf numFmtId="0" fontId="1" fillId="2" borderId="0" xfId="0" applyFont="1" applyFill="1" applyAlignment="1">
      <alignment horizontal="center"/>
    </xf>
    <xf numFmtId="0" fontId="10" fillId="0" borderId="0" xfId="0" applyFont="1" applyAlignment="1">
      <alignment wrapText="1"/>
    </xf>
    <xf numFmtId="0" fontId="7" fillId="0" borderId="0" xfId="0" applyFont="1" applyAlignment="1">
      <alignment vertical="top" wrapText="1"/>
    </xf>
    <xf numFmtId="0" fontId="5" fillId="4" borderId="0" xfId="0" applyFont="1" applyFill="1" applyAlignment="1">
      <alignment horizontal="center" vertical="center" wrapText="1"/>
    </xf>
    <xf numFmtId="0" fontId="3" fillId="5" borderId="0" xfId="0" applyFont="1" applyFill="1" applyAlignment="1">
      <alignment horizontal="left"/>
    </xf>
    <xf numFmtId="0" fontId="12" fillId="3" borderId="0" xfId="0" applyFont="1" applyFill="1" applyAlignment="1">
      <alignment horizontal="center" vertical="center" wrapText="1"/>
    </xf>
    <xf numFmtId="0" fontId="7" fillId="0" borderId="0" xfId="0" applyFont="1" applyAlignment="1">
      <alignment wrapText="1"/>
    </xf>
    <xf numFmtId="0" fontId="13" fillId="2" borderId="0" xfId="0" applyFont="1" applyFill="1" applyAlignment="1">
      <alignment horizontal="center" vertical="center"/>
    </xf>
    <xf numFmtId="0" fontId="15" fillId="2" borderId="0" xfId="0" applyFont="1" applyFill="1" applyAlignment="1">
      <alignment horizontal="center"/>
    </xf>
    <xf numFmtId="0" fontId="17" fillId="2" borderId="0" xfId="0" applyFont="1" applyFill="1"/>
    <xf numFmtId="0" fontId="18" fillId="2" borderId="0" xfId="0" applyFont="1" applyFill="1" applyAlignment="1">
      <alignment horizontal="center" vertical="center" wrapText="1"/>
    </xf>
    <xf numFmtId="0" fontId="19" fillId="0" borderId="0" xfId="0" applyFont="1"/>
    <xf numFmtId="0" fontId="17" fillId="0" borderId="0" xfId="0" applyFont="1"/>
    <xf numFmtId="0" fontId="20" fillId="0" borderId="0" xfId="0" applyFont="1" applyAlignment="1">
      <alignment wrapText="1"/>
    </xf>
    <xf numFmtId="0" fontId="14" fillId="2" borderId="0" xfId="0" applyFont="1" applyFill="1" applyAlignment="1"/>
    <xf numFmtId="0" fontId="0" fillId="2" borderId="0" xfId="0" applyFill="1" applyAlignment="1"/>
    <xf numFmtId="0" fontId="16" fillId="2" borderId="0" xfId="0" applyFont="1" applyFill="1" applyAlignment="1"/>
    <xf numFmtId="0" fontId="0" fillId="0" borderId="0" xfId="0" applyAlignment="1"/>
    <xf numFmtId="0" fontId="1" fillId="5" borderId="0" xfId="0" applyFont="1" applyFill="1" applyAlignment="1"/>
    <xf numFmtId="0" fontId="0" fillId="0" borderId="0" xfId="0" applyFont="1" applyAlignment="1"/>
    <xf numFmtId="0" fontId="9" fillId="0" borderId="0" xfId="0" applyFont="1" applyAlignment="1"/>
    <xf numFmtId="0" fontId="19" fillId="0" borderId="0" xfId="0" applyFont="1" applyAlignment="1"/>
    <xf numFmtId="0" fontId="3" fillId="5" borderId="0" xfId="0" applyFont="1"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Liquidity Ratio Trend — FY2023 to FY2025</a:t>
            </a:r>
          </a:p>
        </c:rich>
      </c:tx>
      <c:layout>
        <c:manualLayout>
          <c:xMode val="edge"/>
          <c:yMode val="edge"/>
          <c:x val="0.37403825757575759"/>
          <c:y val="3.5907738095238097E-2"/>
        </c:manualLayout>
      </c:layout>
      <c:overlay val="1"/>
    </c:title>
    <c:autoTitleDeleted val="0"/>
    <c:plotArea>
      <c:layout/>
      <c:lineChart>
        <c:grouping val="standard"/>
        <c:varyColors val="1"/>
        <c:ser>
          <c:idx val="0"/>
          <c:order val="0"/>
          <c:tx>
            <c:strRef>
              <c:f>Trend_Analysis!K52</c:f>
              <c:strCache>
                <c:ptCount val="1"/>
                <c:pt idx="0">
                  <c:v>FY2023</c:v>
                </c:pt>
              </c:strCache>
            </c:strRef>
          </c:tx>
          <c:spPr>
            <a:ln>
              <a:prstDash val="solid"/>
            </a:ln>
          </c:spPr>
          <c:marker>
            <c:symbol val="none"/>
          </c:marker>
          <c:cat>
            <c:strRef>
              <c:f>Trend_Analysis!$J$53:$J$55</c:f>
              <c:strCache>
                <c:ptCount val="3"/>
                <c:pt idx="0">
                  <c:v>Current Ratio</c:v>
                </c:pt>
                <c:pt idx="1">
                  <c:v>Quick Ratio</c:v>
                </c:pt>
                <c:pt idx="2">
                  <c:v>Cash Ratio</c:v>
                </c:pt>
              </c:strCache>
            </c:strRef>
          </c:cat>
          <c:val>
            <c:numRef>
              <c:f>Trend_Analysis!$K$53:$K$55</c:f>
              <c:numCache>
                <c:formatCode>General</c:formatCode>
                <c:ptCount val="3"/>
                <c:pt idx="0">
                  <c:v>1.8978937395233584</c:v>
                </c:pt>
                <c:pt idx="1">
                  <c:v>1.8978937395233584</c:v>
                </c:pt>
                <c:pt idx="2">
                  <c:v>0.23810217914146201</c:v>
                </c:pt>
              </c:numCache>
            </c:numRef>
          </c:val>
          <c:smooth val="1"/>
          <c:extLst>
            <c:ext xmlns:c16="http://schemas.microsoft.com/office/drawing/2014/chart" uri="{C3380CC4-5D6E-409C-BE32-E72D297353CC}">
              <c16:uniqueId val="{00000000-EBA5-4DF1-A26E-9C340A0CC035}"/>
            </c:ext>
          </c:extLst>
        </c:ser>
        <c:ser>
          <c:idx val="1"/>
          <c:order val="1"/>
          <c:tx>
            <c:strRef>
              <c:f>Trend_Analysis!L52</c:f>
              <c:strCache>
                <c:ptCount val="1"/>
                <c:pt idx="0">
                  <c:v>FY2024</c:v>
                </c:pt>
              </c:strCache>
            </c:strRef>
          </c:tx>
          <c:spPr>
            <a:ln>
              <a:prstDash val="solid"/>
            </a:ln>
          </c:spPr>
          <c:marker>
            <c:symbol val="none"/>
          </c:marker>
          <c:cat>
            <c:strRef>
              <c:f>Trend_Analysis!$J$53:$J$55</c:f>
              <c:strCache>
                <c:ptCount val="3"/>
                <c:pt idx="0">
                  <c:v>Current Ratio</c:v>
                </c:pt>
                <c:pt idx="1">
                  <c:v>Quick Ratio</c:v>
                </c:pt>
                <c:pt idx="2">
                  <c:v>Cash Ratio</c:v>
                </c:pt>
              </c:strCache>
            </c:strRef>
          </c:cat>
          <c:val>
            <c:numRef>
              <c:f>Trend_Analysis!$L$53:$L$55</c:f>
              <c:numCache>
                <c:formatCode>General</c:formatCode>
                <c:ptCount val="3"/>
                <c:pt idx="0">
                  <c:v>2.6195082330355164</c:v>
                </c:pt>
                <c:pt idx="1">
                  <c:v>2.6195082330355164</c:v>
                </c:pt>
                <c:pt idx="2">
                  <c:v>0.30240714760392823</c:v>
                </c:pt>
              </c:numCache>
            </c:numRef>
          </c:val>
          <c:smooth val="1"/>
          <c:extLst>
            <c:ext xmlns:c16="http://schemas.microsoft.com/office/drawing/2014/chart" uri="{C3380CC4-5D6E-409C-BE32-E72D297353CC}">
              <c16:uniqueId val="{00000001-EBA5-4DF1-A26E-9C340A0CC035}"/>
            </c:ext>
          </c:extLst>
        </c:ser>
        <c:ser>
          <c:idx val="2"/>
          <c:order val="2"/>
          <c:tx>
            <c:strRef>
              <c:f>Trend_Analysis!M52</c:f>
              <c:strCache>
                <c:ptCount val="1"/>
                <c:pt idx="0">
                  <c:v>FY2025</c:v>
                </c:pt>
              </c:strCache>
            </c:strRef>
          </c:tx>
          <c:spPr>
            <a:ln>
              <a:prstDash val="solid"/>
            </a:ln>
          </c:spPr>
          <c:marker>
            <c:symbol val="none"/>
          </c:marker>
          <c:cat>
            <c:strRef>
              <c:f>Trend_Analysis!$J$53:$J$55</c:f>
              <c:strCache>
                <c:ptCount val="3"/>
                <c:pt idx="0">
                  <c:v>Current Ratio</c:v>
                </c:pt>
                <c:pt idx="1">
                  <c:v>Quick Ratio</c:v>
                </c:pt>
                <c:pt idx="2">
                  <c:v>Cash Ratio</c:v>
                </c:pt>
              </c:strCache>
            </c:strRef>
          </c:cat>
          <c:val>
            <c:numRef>
              <c:f>Trend_Analysis!$M$53:$M$55</c:f>
              <c:numCache>
                <c:formatCode>General</c:formatCode>
                <c:ptCount val="3"/>
                <c:pt idx="0">
                  <c:v>2.4295699263270576</c:v>
                </c:pt>
                <c:pt idx="1">
                  <c:v>2.4295699263270576</c:v>
                </c:pt>
                <c:pt idx="2">
                  <c:v>0.44912159183930483</c:v>
                </c:pt>
              </c:numCache>
            </c:numRef>
          </c:val>
          <c:smooth val="1"/>
          <c:extLst>
            <c:ext xmlns:c16="http://schemas.microsoft.com/office/drawing/2014/chart" uri="{C3380CC4-5D6E-409C-BE32-E72D297353CC}">
              <c16:uniqueId val="{00000002-EBA5-4DF1-A26E-9C340A0CC035}"/>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US"/>
                  <a:t>Financial Year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Ratio Value</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Profitability Margin Trend — FY2023 to FY2025</a:t>
            </a:r>
          </a:p>
        </c:rich>
      </c:tx>
      <c:layout>
        <c:manualLayout>
          <c:xMode val="edge"/>
          <c:yMode val="edge"/>
          <c:x val="0.34017159090909088"/>
          <c:y val="7.1815476190476193E-2"/>
        </c:manualLayout>
      </c:layout>
      <c:overlay val="1"/>
    </c:title>
    <c:autoTitleDeleted val="0"/>
    <c:plotArea>
      <c:layout/>
      <c:barChart>
        <c:barDir val="col"/>
        <c:grouping val="clustered"/>
        <c:varyColors val="1"/>
        <c:ser>
          <c:idx val="0"/>
          <c:order val="0"/>
          <c:tx>
            <c:strRef>
              <c:f>Trend_Analysis!K58</c:f>
              <c:strCache>
                <c:ptCount val="1"/>
                <c:pt idx="0">
                  <c:v>FY2023</c:v>
                </c:pt>
              </c:strCache>
            </c:strRef>
          </c:tx>
          <c:spPr>
            <a:ln>
              <a:prstDash val="solid"/>
            </a:ln>
          </c:spPr>
          <c:invertIfNegative val="1"/>
          <c:cat>
            <c:strRef>
              <c:f>Trend_Analysis!$J$59:$J$61</c:f>
              <c:strCache>
                <c:ptCount val="3"/>
                <c:pt idx="0">
                  <c:v>Gross Profit Margin</c:v>
                </c:pt>
                <c:pt idx="1">
                  <c:v>Operating Profit Margin</c:v>
                </c:pt>
                <c:pt idx="2">
                  <c:v>Net Profit Margin</c:v>
                </c:pt>
              </c:strCache>
            </c:strRef>
          </c:cat>
          <c:val>
            <c:numRef>
              <c:f>Trend_Analysis!$K$59:$K$61</c:f>
              <c:numCache>
                <c:formatCode>General</c:formatCode>
                <c:ptCount val="3"/>
                <c:pt idx="0">
                  <c:v>0.33991323560243197</c:v>
                </c:pt>
                <c:pt idx="1">
                  <c:v>0.25642266195752095</c:v>
                </c:pt>
                <c:pt idx="2">
                  <c:v>0.18762397793797475</c:v>
                </c:pt>
              </c:numCache>
            </c:numRef>
          </c:val>
          <c:extLst>
            <c:ext xmlns:c16="http://schemas.microsoft.com/office/drawing/2014/chart" uri="{C3380CC4-5D6E-409C-BE32-E72D297353CC}">
              <c16:uniqueId val="{00000000-3D98-4360-BC83-B807BBE11C9E}"/>
            </c:ext>
          </c:extLst>
        </c:ser>
        <c:ser>
          <c:idx val="1"/>
          <c:order val="1"/>
          <c:tx>
            <c:strRef>
              <c:f>Trend_Analysis!L58</c:f>
              <c:strCache>
                <c:ptCount val="1"/>
                <c:pt idx="0">
                  <c:v>FY2024</c:v>
                </c:pt>
              </c:strCache>
            </c:strRef>
          </c:tx>
          <c:spPr>
            <a:ln>
              <a:prstDash val="solid"/>
            </a:ln>
          </c:spPr>
          <c:invertIfNegative val="1"/>
          <c:cat>
            <c:strRef>
              <c:f>Trend_Analysis!$J$59:$J$61</c:f>
              <c:strCache>
                <c:ptCount val="3"/>
                <c:pt idx="0">
                  <c:v>Gross Profit Margin</c:v>
                </c:pt>
                <c:pt idx="1">
                  <c:v>Operating Profit Margin</c:v>
                </c:pt>
                <c:pt idx="2">
                  <c:v>Net Profit Margin</c:v>
                </c:pt>
              </c:strCache>
            </c:strRef>
          </c:cat>
          <c:val>
            <c:numRef>
              <c:f>Trend_Analysis!$L$59:$L$61</c:f>
              <c:numCache>
                <c:formatCode>General</c:formatCode>
                <c:ptCount val="3"/>
                <c:pt idx="0">
                  <c:v>0.35022841320685938</c:v>
                </c:pt>
                <c:pt idx="1">
                  <c:v>0.2809986582178341</c:v>
                </c:pt>
                <c:pt idx="2">
                  <c:v>0.21122598558941466</c:v>
                </c:pt>
              </c:numCache>
            </c:numRef>
          </c:val>
          <c:extLst>
            <c:ext xmlns:c16="http://schemas.microsoft.com/office/drawing/2014/chart" uri="{C3380CC4-5D6E-409C-BE32-E72D297353CC}">
              <c16:uniqueId val="{00000001-3D98-4360-BC83-B807BBE11C9E}"/>
            </c:ext>
          </c:extLst>
        </c:ser>
        <c:ser>
          <c:idx val="2"/>
          <c:order val="2"/>
          <c:tx>
            <c:strRef>
              <c:f>Trend_Analysis!M58</c:f>
              <c:strCache>
                <c:ptCount val="1"/>
                <c:pt idx="0">
                  <c:v>FY2025</c:v>
                </c:pt>
              </c:strCache>
            </c:strRef>
          </c:tx>
          <c:spPr>
            <a:ln>
              <a:prstDash val="solid"/>
            </a:ln>
          </c:spPr>
          <c:invertIfNegative val="1"/>
          <c:cat>
            <c:strRef>
              <c:f>Trend_Analysis!$J$59:$J$61</c:f>
              <c:strCache>
                <c:ptCount val="3"/>
                <c:pt idx="0">
                  <c:v>Gross Profit Margin</c:v>
                </c:pt>
                <c:pt idx="1">
                  <c:v>Operating Profit Margin</c:v>
                </c:pt>
                <c:pt idx="2">
                  <c:v>Net Profit Margin</c:v>
                </c:pt>
              </c:strCache>
            </c:strRef>
          </c:cat>
          <c:val>
            <c:numRef>
              <c:f>Trend_Analysis!$M$59:$M$61</c:f>
              <c:numCache>
                <c:formatCode>General</c:formatCode>
                <c:ptCount val="3"/>
                <c:pt idx="0">
                  <c:v>0.36439176525711608</c:v>
                </c:pt>
                <c:pt idx="1">
                  <c:v>0.2610841044863535</c:v>
                </c:pt>
                <c:pt idx="2">
                  <c:v>0.18718519386201241</c:v>
                </c:pt>
              </c:numCache>
            </c:numRef>
          </c:val>
          <c:extLst>
            <c:ext xmlns:c16="http://schemas.microsoft.com/office/drawing/2014/chart" uri="{C3380CC4-5D6E-409C-BE32-E72D297353CC}">
              <c16:uniqueId val="{00000002-3D98-4360-BC83-B807BBE11C9E}"/>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Financial Year</a:t>
                </a:r>
              </a:p>
            </c:rich>
          </c:tx>
          <c:layout>
            <c:manualLayout>
              <c:xMode val="edge"/>
              <c:yMode val="edge"/>
              <c:x val="0.40963395704569189"/>
              <c:y val="0.9636025389106434"/>
            </c:manualLayout>
          </c:layout>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Margin (%)</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210300" cy="5038725"/>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1200150</xdr:colOff>
      <xdr:row>0</xdr:row>
      <xdr:rowOff>171450</xdr:rowOff>
    </xdr:from>
    <xdr:ext cx="6162675" cy="3829050"/>
    <xdr:graphicFrame macro="">
      <xdr:nvGraphicFramePr>
        <xdr:cNvPr id="3" name="Chart 2">
          <a:extLst>
            <a:ext uri="{FF2B5EF4-FFF2-40B4-BE49-F238E27FC236}">
              <a16:creationId xmlns:a16="http://schemas.microsoft.com/office/drawing/2014/main" id="{00000000-0008-0000-0300-000003000000}"/>
            </a:ext>
            <a:ext uri="{147F2762-F138-4A5C-976F-8EAC2B608ADB}">
              <a16:predDERef xmlns:a16="http://schemas.microsoft.com/office/drawing/2014/main" pre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opLeftCell="A5" workbookViewId="0">
      <selection activeCell="E22" sqref="E22"/>
    </sheetView>
  </sheetViews>
  <sheetFormatPr defaultRowHeight="15"/>
  <cols>
    <col min="1" max="1" width="70" customWidth="1"/>
    <col min="2" max="8" width="5" customWidth="1"/>
  </cols>
  <sheetData>
    <row r="1" spans="1:8">
      <c r="A1" s="1"/>
      <c r="B1" s="1"/>
      <c r="C1" s="1"/>
      <c r="D1" s="1"/>
      <c r="E1" s="1"/>
      <c r="F1" s="1"/>
      <c r="G1" s="1"/>
      <c r="H1" s="1"/>
    </row>
    <row r="2" spans="1:8" ht="27.95" customHeight="1">
      <c r="A2" s="26" t="s">
        <v>0</v>
      </c>
      <c r="B2" s="33"/>
      <c r="C2" s="33"/>
      <c r="D2" s="33"/>
      <c r="E2" s="33"/>
      <c r="F2" s="33"/>
      <c r="G2" s="33"/>
      <c r="H2" s="33"/>
    </row>
    <row r="3" spans="1:8">
      <c r="A3" s="19" t="s">
        <v>1</v>
      </c>
      <c r="B3" s="34"/>
      <c r="C3" s="34"/>
      <c r="D3" s="34"/>
      <c r="E3" s="34"/>
      <c r="F3" s="34"/>
      <c r="G3" s="34"/>
      <c r="H3" s="34"/>
    </row>
    <row r="4" spans="1:8">
      <c r="A4" s="27" t="s">
        <v>2</v>
      </c>
      <c r="B4" s="35"/>
      <c r="C4" s="35"/>
      <c r="D4" s="35"/>
      <c r="E4" s="35"/>
      <c r="F4" s="35"/>
      <c r="G4" s="35"/>
      <c r="H4" s="35"/>
    </row>
    <row r="5" spans="1:8">
      <c r="A5" s="1"/>
      <c r="B5" s="1"/>
      <c r="C5" s="1"/>
      <c r="D5" s="1"/>
      <c r="E5" s="1"/>
      <c r="F5" s="1"/>
      <c r="G5" s="1"/>
      <c r="H5" s="1"/>
    </row>
    <row r="6" spans="1:8">
      <c r="A6" s="2" t="s">
        <v>3</v>
      </c>
      <c r="B6" s="1"/>
      <c r="C6" s="1"/>
      <c r="D6" s="1"/>
      <c r="E6" s="1"/>
      <c r="F6" s="1"/>
      <c r="G6" s="1"/>
      <c r="H6" s="1"/>
    </row>
    <row r="7" spans="1:8">
      <c r="A7" s="28" t="s">
        <v>4</v>
      </c>
      <c r="B7" s="1"/>
      <c r="C7" s="1"/>
      <c r="D7" s="1"/>
      <c r="E7" s="1"/>
      <c r="F7" s="1"/>
      <c r="G7" s="1"/>
      <c r="H7" s="1"/>
    </row>
    <row r="8" spans="1:8">
      <c r="A8" s="1"/>
      <c r="B8" s="1"/>
      <c r="C8" s="1"/>
      <c r="D8" s="1"/>
      <c r="E8" s="1"/>
      <c r="F8" s="1"/>
      <c r="G8" s="1"/>
      <c r="H8" s="1"/>
    </row>
    <row r="9" spans="1:8">
      <c r="A9" s="2" t="s">
        <v>5</v>
      </c>
      <c r="B9" s="1"/>
      <c r="C9" s="1"/>
      <c r="D9" s="1"/>
      <c r="E9" s="1"/>
      <c r="F9" s="1"/>
      <c r="G9" s="1"/>
      <c r="H9" s="1"/>
    </row>
    <row r="10" spans="1:8">
      <c r="A10" s="1"/>
      <c r="B10" s="1"/>
      <c r="C10" s="1"/>
      <c r="D10" s="1"/>
      <c r="E10" s="1"/>
      <c r="F10" s="1"/>
      <c r="G10" s="1"/>
      <c r="H10" s="1"/>
    </row>
    <row r="11" spans="1:8">
      <c r="A11" s="3" t="s">
        <v>6</v>
      </c>
      <c r="B11" s="1"/>
      <c r="C11" s="1"/>
      <c r="D11" s="1"/>
      <c r="E11" s="1"/>
      <c r="F11" s="1"/>
      <c r="G11" s="1"/>
      <c r="H11" s="1"/>
    </row>
    <row r="12" spans="1:8">
      <c r="A12" s="4" t="s">
        <v>7</v>
      </c>
      <c r="B12" s="1"/>
      <c r="C12" s="1"/>
      <c r="D12" s="1"/>
      <c r="E12" s="1"/>
      <c r="F12" s="1"/>
      <c r="G12" s="1"/>
      <c r="H12" s="1"/>
    </row>
    <row r="13" spans="1:8">
      <c r="A13" s="4" t="s">
        <v>8</v>
      </c>
      <c r="B13" s="1"/>
      <c r="C13" s="1"/>
      <c r="D13" s="1"/>
      <c r="E13" s="1"/>
      <c r="F13" s="1"/>
      <c r="G13" s="1"/>
      <c r="H13" s="1"/>
    </row>
    <row r="14" spans="1:8">
      <c r="A14" s="4" t="s">
        <v>9</v>
      </c>
      <c r="B14" s="1"/>
      <c r="C14" s="1"/>
      <c r="D14" s="1"/>
      <c r="E14" s="1"/>
      <c r="F14" s="1"/>
      <c r="G14" s="1"/>
      <c r="H14" s="1"/>
    </row>
    <row r="15" spans="1:8">
      <c r="A15" s="4" t="s">
        <v>10</v>
      </c>
      <c r="B15" s="1"/>
      <c r="C15" s="1"/>
      <c r="D15" s="1"/>
      <c r="E15" s="1"/>
      <c r="F15" s="1"/>
      <c r="G15" s="1"/>
      <c r="H15" s="1"/>
    </row>
    <row r="16" spans="1:8">
      <c r="A16" s="4" t="s">
        <v>11</v>
      </c>
      <c r="B16" s="1"/>
      <c r="C16" s="1"/>
      <c r="D16" s="1"/>
      <c r="E16" s="1"/>
      <c r="F16" s="1"/>
      <c r="G16" s="1"/>
      <c r="H16" s="1"/>
    </row>
    <row r="17" spans="1:8">
      <c r="A17" s="4" t="s">
        <v>12</v>
      </c>
      <c r="B17" s="1"/>
      <c r="C17" s="1"/>
      <c r="D17" s="1"/>
      <c r="E17" s="1"/>
      <c r="F17" s="1"/>
      <c r="G17" s="1"/>
      <c r="H17" s="1"/>
    </row>
    <row r="18" spans="1:8">
      <c r="A18" s="1"/>
      <c r="B18" s="1"/>
      <c r="C18" s="1"/>
      <c r="D18" s="1"/>
      <c r="E18" s="1"/>
      <c r="F18" s="1"/>
      <c r="G18" s="1"/>
      <c r="H18" s="1"/>
    </row>
    <row r="19" spans="1:8">
      <c r="A19" s="1"/>
      <c r="B19" s="1"/>
      <c r="C19" s="1"/>
      <c r="D19" s="1"/>
      <c r="E19" s="1"/>
      <c r="F19" s="1"/>
      <c r="G19" s="1"/>
      <c r="H19" s="1"/>
    </row>
    <row r="20" spans="1:8">
      <c r="A20" s="1"/>
      <c r="B20" s="1"/>
      <c r="C20" s="1"/>
      <c r="D20" s="1"/>
      <c r="E20" s="1"/>
      <c r="F20" s="1"/>
      <c r="G20" s="1"/>
      <c r="H20" s="1"/>
    </row>
    <row r="21" spans="1:8">
      <c r="A21" s="1"/>
      <c r="B21" s="1"/>
      <c r="C21" s="1"/>
      <c r="D21" s="1"/>
      <c r="E21" s="1"/>
      <c r="F21" s="1"/>
      <c r="G21" s="1"/>
      <c r="H21" s="1"/>
    </row>
    <row r="22" spans="1:8">
      <c r="A22" s="1"/>
      <c r="B22" s="1"/>
      <c r="C22" s="1"/>
      <c r="D22" s="1"/>
      <c r="E22" s="1"/>
      <c r="F22" s="1"/>
      <c r="G22" s="1"/>
      <c r="H22" s="1"/>
    </row>
    <row r="23" spans="1:8">
      <c r="A23" s="1"/>
      <c r="B23" s="1"/>
      <c r="C23" s="1"/>
      <c r="D23" s="1"/>
      <c r="E23" s="1"/>
      <c r="F23" s="1"/>
      <c r="G23" s="1"/>
      <c r="H23" s="1"/>
    </row>
    <row r="24" spans="1:8">
      <c r="A24" s="1"/>
      <c r="B24" s="1"/>
      <c r="C24" s="1"/>
      <c r="D24" s="1"/>
      <c r="E24" s="1"/>
      <c r="F24" s="1"/>
      <c r="G24" s="1"/>
      <c r="H24" s="1"/>
    </row>
    <row r="25" spans="1:8">
      <c r="A25" s="1"/>
      <c r="B25" s="1"/>
      <c r="C25" s="1"/>
      <c r="D25" s="1"/>
      <c r="E25" s="1"/>
      <c r="F25" s="1"/>
      <c r="G25" s="1"/>
      <c r="H25" s="1"/>
    </row>
  </sheetData>
  <mergeCells count="3">
    <mergeCell ref="A4:H4"/>
    <mergeCell ref="A3:H3"/>
    <mergeCell ref="A2:H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
  <sheetViews>
    <sheetView workbookViewId="0">
      <pane ySplit="1" topLeftCell="A7" activePane="bottomLeft" state="frozen"/>
      <selection pane="bottomLeft" activeCell="B3" sqref="B3"/>
    </sheetView>
  </sheetViews>
  <sheetFormatPr defaultRowHeight="15"/>
  <cols>
    <col min="1" max="1" width="35" customWidth="1"/>
    <col min="2" max="4" width="15" customWidth="1"/>
    <col min="5" max="5" width="12" customWidth="1"/>
  </cols>
  <sheetData>
    <row r="1" spans="1:5" ht="18" customHeight="1">
      <c r="A1" s="5" t="s">
        <v>13</v>
      </c>
      <c r="B1" s="5" t="s">
        <v>14</v>
      </c>
      <c r="C1" s="5" t="s">
        <v>15</v>
      </c>
      <c r="D1" s="5" t="s">
        <v>16</v>
      </c>
      <c r="E1" s="5" t="s">
        <v>17</v>
      </c>
    </row>
    <row r="2" spans="1:5" ht="15.95" customHeight="1">
      <c r="A2" s="6" t="s">
        <v>18</v>
      </c>
      <c r="B2" s="7"/>
      <c r="C2" s="7"/>
      <c r="D2" s="7"/>
      <c r="E2" s="7"/>
    </row>
    <row r="3" spans="1:5">
      <c r="A3" s="8" t="s">
        <v>19</v>
      </c>
      <c r="B3" s="9">
        <v>52082</v>
      </c>
      <c r="C3" s="9">
        <v>70952</v>
      </c>
      <c r="D3" s="9">
        <v>77168</v>
      </c>
      <c r="E3" s="31" t="s">
        <v>20</v>
      </c>
    </row>
    <row r="4" spans="1:5">
      <c r="A4" s="8" t="s">
        <v>21</v>
      </c>
      <c r="B4" s="9">
        <v>0</v>
      </c>
      <c r="C4" s="9">
        <v>0</v>
      </c>
      <c r="D4" s="9">
        <v>0</v>
      </c>
      <c r="E4" s="31" t="s">
        <v>20</v>
      </c>
    </row>
    <row r="5" spans="1:5">
      <c r="A5" s="8" t="s">
        <v>22</v>
      </c>
      <c r="B5" s="9">
        <v>6534</v>
      </c>
      <c r="C5" s="9">
        <v>8191</v>
      </c>
      <c r="D5" s="9">
        <v>14265</v>
      </c>
      <c r="E5" s="31" t="s">
        <v>20</v>
      </c>
    </row>
    <row r="6" spans="1:5">
      <c r="A6" s="8" t="s">
        <v>23</v>
      </c>
      <c r="B6" s="9">
        <v>101337</v>
      </c>
      <c r="C6" s="9">
        <v>114950</v>
      </c>
      <c r="D6" s="9">
        <v>124936</v>
      </c>
      <c r="E6" s="31" t="s">
        <v>20</v>
      </c>
    </row>
    <row r="7" spans="1:5">
      <c r="A7" s="8" t="s">
        <v>24</v>
      </c>
      <c r="B7" s="9">
        <v>27442</v>
      </c>
      <c r="C7" s="9">
        <v>27086</v>
      </c>
      <c r="D7" s="9">
        <v>31762</v>
      </c>
      <c r="E7" s="31" t="s">
        <v>20</v>
      </c>
    </row>
    <row r="8" spans="1:5">
      <c r="A8" s="8" t="s">
        <v>25</v>
      </c>
      <c r="B8" s="9">
        <v>0</v>
      </c>
      <c r="C8" s="9">
        <v>0</v>
      </c>
      <c r="D8" s="9">
        <v>0</v>
      </c>
      <c r="E8" s="31" t="s">
        <v>20</v>
      </c>
    </row>
    <row r="9" spans="1:5">
      <c r="A9" s="8" t="s">
        <v>26</v>
      </c>
      <c r="B9" s="9">
        <v>67745</v>
      </c>
      <c r="C9" s="9">
        <v>81176</v>
      </c>
      <c r="D9" s="9">
        <v>87332</v>
      </c>
      <c r="E9" s="31" t="s">
        <v>20</v>
      </c>
    </row>
    <row r="11" spans="1:5" ht="15.95" customHeight="1">
      <c r="A11" s="6" t="s">
        <v>27</v>
      </c>
      <c r="B11" s="7"/>
      <c r="C11" s="7"/>
      <c r="D11" s="7"/>
      <c r="E11" s="7"/>
    </row>
    <row r="12" spans="1:5">
      <c r="A12" s="8" t="s">
        <v>28</v>
      </c>
      <c r="B12" s="9">
        <v>124014</v>
      </c>
      <c r="C12" s="9">
        <v>128933</v>
      </c>
      <c r="D12" s="9">
        <v>136592</v>
      </c>
      <c r="E12" s="31" t="s">
        <v>20</v>
      </c>
    </row>
    <row r="13" spans="1:5">
      <c r="A13" s="8" t="s">
        <v>29</v>
      </c>
      <c r="B13" s="9">
        <v>42154</v>
      </c>
      <c r="C13" s="9">
        <v>45156</v>
      </c>
      <c r="D13" s="9">
        <v>49773</v>
      </c>
      <c r="E13" s="31" t="s">
        <v>20</v>
      </c>
    </row>
    <row r="14" spans="1:5">
      <c r="A14" s="8" t="s">
        <v>30</v>
      </c>
      <c r="B14" s="9">
        <v>31800</v>
      </c>
      <c r="C14" s="9">
        <v>36230</v>
      </c>
      <c r="D14" s="9">
        <v>35662</v>
      </c>
      <c r="E14" s="31" t="s">
        <v>20</v>
      </c>
    </row>
    <row r="15" spans="1:5">
      <c r="A15" s="8" t="s">
        <v>31</v>
      </c>
      <c r="B15" s="9">
        <v>157</v>
      </c>
      <c r="C15" s="9">
        <v>277</v>
      </c>
      <c r="D15" s="9">
        <v>221</v>
      </c>
      <c r="E15" s="31" t="s">
        <v>20</v>
      </c>
    </row>
    <row r="16" spans="1:5">
      <c r="A16" s="8" t="s">
        <v>32</v>
      </c>
      <c r="B16" s="9">
        <v>23268</v>
      </c>
      <c r="C16" s="9">
        <v>27234</v>
      </c>
      <c r="D16" s="9">
        <v>25568</v>
      </c>
      <c r="E16" s="31" t="s">
        <v>20</v>
      </c>
    </row>
    <row r="18" spans="1:1">
      <c r="A18" s="30" t="s">
        <v>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workbookViewId="0">
      <pane ySplit="1" topLeftCell="A2" activePane="bottomLeft" state="frozen"/>
      <selection pane="bottomLeft" activeCell="E5" sqref="E5"/>
    </sheetView>
  </sheetViews>
  <sheetFormatPr defaultRowHeight="15"/>
  <cols>
    <col min="1" max="1" width="26" customWidth="1"/>
    <col min="2" max="2" width="38" customWidth="1"/>
    <col min="3" max="5" width="12" customWidth="1"/>
    <col min="6" max="6" width="14" customWidth="1"/>
    <col min="7" max="7" width="48" customWidth="1"/>
    <col min="8" max="9" width="14" customWidth="1"/>
  </cols>
  <sheetData>
    <row r="1" spans="1:9" ht="27" customHeight="1">
      <c r="A1" s="10" t="s">
        <v>34</v>
      </c>
      <c r="B1" s="10" t="s">
        <v>35</v>
      </c>
      <c r="C1" s="10" t="s">
        <v>14</v>
      </c>
      <c r="D1" s="10" t="s">
        <v>15</v>
      </c>
      <c r="E1" s="10" t="s">
        <v>16</v>
      </c>
      <c r="F1" s="10" t="s">
        <v>36</v>
      </c>
      <c r="G1" s="10" t="s">
        <v>37</v>
      </c>
      <c r="H1" s="10" t="s">
        <v>38</v>
      </c>
      <c r="I1" s="10" t="s">
        <v>39</v>
      </c>
    </row>
    <row r="3" spans="1:9" ht="15.95" customHeight="1">
      <c r="A3" s="6" t="s">
        <v>40</v>
      </c>
      <c r="B3" s="7"/>
      <c r="C3" s="7"/>
      <c r="D3" s="7"/>
      <c r="E3" s="7"/>
      <c r="F3" s="7"/>
      <c r="G3" s="7"/>
      <c r="H3" s="7"/>
      <c r="I3" s="7"/>
    </row>
    <row r="4" spans="1:9" ht="30" customHeight="1">
      <c r="A4" s="8" t="s">
        <v>41</v>
      </c>
      <c r="B4" s="32" t="s">
        <v>42</v>
      </c>
      <c r="C4" s="11">
        <f>Raw_Data!B3/Raw_Data!B7</f>
        <v>1.8978937395233584</v>
      </c>
      <c r="D4" s="11">
        <f>Raw_Data!C3/Raw_Data!C7</f>
        <v>2.6195082330355164</v>
      </c>
      <c r="E4" s="11">
        <f>Raw_Data!D3/Raw_Data!D7</f>
        <v>2.4295699263270576</v>
      </c>
      <c r="F4" s="12" t="str">
        <f>IF(E4&gt;C4,"Improving","Declining")</f>
        <v>Improving</v>
      </c>
      <c r="G4" s="32" t="s">
        <v>43</v>
      </c>
      <c r="H4" s="13">
        <f>(D4-C4)/C4</f>
        <v>0.3802185962705088</v>
      </c>
      <c r="I4" s="13">
        <f>(E4-D4)/D4</f>
        <v>-7.2509146683748374E-2</v>
      </c>
    </row>
    <row r="5" spans="1:9" ht="30" customHeight="1">
      <c r="A5" s="8" t="s">
        <v>44</v>
      </c>
      <c r="B5" s="32" t="s">
        <v>45</v>
      </c>
      <c r="C5" s="11">
        <f>(Raw_Data!B3-Raw_Data!B4)/Raw_Data!B7</f>
        <v>1.8978937395233584</v>
      </c>
      <c r="D5" s="11">
        <f>(Raw_Data!C3-Raw_Data!C4)/Raw_Data!C7</f>
        <v>2.6195082330355164</v>
      </c>
      <c r="E5" s="11">
        <f>(Raw_Data!D3-Raw_Data!D4)/Raw_Data!D7</f>
        <v>2.4295699263270576</v>
      </c>
      <c r="F5" s="12" t="str">
        <f>IF(E5&gt;C5,"Improving","Declining")</f>
        <v>Improving</v>
      </c>
      <c r="G5" s="32" t="s">
        <v>46</v>
      </c>
      <c r="H5" s="13">
        <f>(D5-C5)/C5</f>
        <v>0.3802185962705088</v>
      </c>
      <c r="I5" s="13">
        <f>(E5-D5)/D5</f>
        <v>-7.2509146683748374E-2</v>
      </c>
    </row>
    <row r="6" spans="1:9" ht="30" customHeight="1">
      <c r="A6" s="8" t="s">
        <v>47</v>
      </c>
      <c r="B6" s="32" t="s">
        <v>48</v>
      </c>
      <c r="C6" s="11">
        <f>Raw_Data!B5/Raw_Data!B7</f>
        <v>0.23810217914146201</v>
      </c>
      <c r="D6" s="11">
        <f>Raw_Data!C5/Raw_Data!C7</f>
        <v>0.30240714760392823</v>
      </c>
      <c r="E6" s="11">
        <f>Raw_Data!D5/Raw_Data!D7</f>
        <v>0.44912159183930483</v>
      </c>
      <c r="F6" s="12" t="str">
        <f>IF(E6&gt;C6,"Improving","Declining")</f>
        <v>Improving</v>
      </c>
      <c r="G6" s="32" t="s">
        <v>49</v>
      </c>
      <c r="H6" s="13">
        <f>(D6-C6)/C6</f>
        <v>0.27007299426798254</v>
      </c>
      <c r="I6" s="13">
        <f>(E6-D6)/D6</f>
        <v>0.48515534569154078</v>
      </c>
    </row>
    <row r="8" spans="1:9" ht="15.95" customHeight="1">
      <c r="A8" s="6" t="s">
        <v>50</v>
      </c>
      <c r="B8" s="7"/>
      <c r="C8" s="7"/>
      <c r="D8" s="7"/>
      <c r="E8" s="7"/>
      <c r="F8" s="7"/>
      <c r="G8" s="7"/>
      <c r="H8" s="7"/>
      <c r="I8" s="7"/>
    </row>
    <row r="9" spans="1:9" ht="30" customHeight="1">
      <c r="A9" s="8" t="s">
        <v>51</v>
      </c>
      <c r="B9" s="32" t="s">
        <v>52</v>
      </c>
      <c r="C9" s="13">
        <f>Raw_Data!B13/Raw_Data!B12</f>
        <v>0.33991323560243197</v>
      </c>
      <c r="D9" s="13">
        <f>Raw_Data!C13/Raw_Data!C12</f>
        <v>0.35022841320685938</v>
      </c>
      <c r="E9" s="13">
        <f>Raw_Data!D13/Raw_Data!D12</f>
        <v>0.36439176525711608</v>
      </c>
      <c r="F9" s="12" t="str">
        <f>IF(E9&gt;C9,"Improving","Declining")</f>
        <v>Improving</v>
      </c>
      <c r="G9" s="32" t="s">
        <v>53</v>
      </c>
      <c r="H9" s="13">
        <f>(D9-C9)/C9</f>
        <v>3.034650176579827E-2</v>
      </c>
      <c r="I9" s="13">
        <f>(E9-D9)/D9</f>
        <v>4.0440328414734425E-2</v>
      </c>
    </row>
    <row r="10" spans="1:9" ht="30" customHeight="1">
      <c r="A10" s="8" t="s">
        <v>54</v>
      </c>
      <c r="B10" s="32" t="s">
        <v>55</v>
      </c>
      <c r="C10" s="13">
        <f>Raw_Data!B14/Raw_Data!B12</f>
        <v>0.25642266195752095</v>
      </c>
      <c r="D10" s="13">
        <f>Raw_Data!C14/Raw_Data!C12</f>
        <v>0.2809986582178341</v>
      </c>
      <c r="E10" s="13">
        <f>Raw_Data!D14/Raw_Data!D12</f>
        <v>0.2610841044863535</v>
      </c>
      <c r="F10" s="12" t="str">
        <f>IF(E10&gt;C10,"Improving","Declining")</f>
        <v>Improving</v>
      </c>
      <c r="G10" s="32" t="s">
        <v>56</v>
      </c>
      <c r="H10" s="13">
        <f>(D10-C10)/C10</f>
        <v>9.5841748434794802E-2</v>
      </c>
      <c r="I10" s="13">
        <f>(E10-D10)/D10</f>
        <v>-7.087063638589533E-2</v>
      </c>
    </row>
    <row r="11" spans="1:9" ht="30" customHeight="1">
      <c r="A11" s="8" t="s">
        <v>57</v>
      </c>
      <c r="B11" s="32" t="s">
        <v>58</v>
      </c>
      <c r="C11" s="13">
        <f>Raw_Data!B16/Raw_Data!B12</f>
        <v>0.18762397793797475</v>
      </c>
      <c r="D11" s="13">
        <f>Raw_Data!C16/Raw_Data!C12</f>
        <v>0.21122598558941466</v>
      </c>
      <c r="E11" s="13">
        <f>Raw_Data!D16/Raw_Data!D12</f>
        <v>0.18718519386201241</v>
      </c>
      <c r="F11" s="12" t="str">
        <f>IF(E11&gt;C11,"Improving","Declining")</f>
        <v>Declining</v>
      </c>
      <c r="G11" s="32" t="s">
        <v>59</v>
      </c>
      <c r="H11" s="13">
        <f>(D11-C11)/C11</f>
        <v>0.12579419704683123</v>
      </c>
      <c r="I11" s="13">
        <f>(E11-D11)/D11</f>
        <v>-0.11381550267273095</v>
      </c>
    </row>
    <row r="12" spans="1:9" ht="30" customHeight="1">
      <c r="A12" s="8" t="s">
        <v>60</v>
      </c>
      <c r="B12" s="32" t="s">
        <v>61</v>
      </c>
      <c r="C12" s="13">
        <f>Raw_Data!B16/Raw_Data!B6</f>
        <v>0.22961011279197135</v>
      </c>
      <c r="D12" s="13">
        <f>Raw_Data!C16/Raw_Data!C6</f>
        <v>0.23692040017398869</v>
      </c>
      <c r="E12" s="13">
        <f>Raw_Data!D16/Raw_Data!D6</f>
        <v>0.20464878017544982</v>
      </c>
      <c r="F12" s="12" t="str">
        <f>IF(E12&gt;C12,"Improving","Declining")</f>
        <v>Declining</v>
      </c>
      <c r="G12" s="32" t="s">
        <v>62</v>
      </c>
      <c r="H12" s="13">
        <f>(D12-C12)/C12</f>
        <v>3.1837828452445011E-2</v>
      </c>
      <c r="I12" s="13">
        <f>(E12-D12)/D12</f>
        <v>-0.13621292203980476</v>
      </c>
    </row>
    <row r="13" spans="1:9" ht="30" customHeight="1">
      <c r="A13" s="8" t="s">
        <v>63</v>
      </c>
      <c r="B13" s="32" t="s">
        <v>64</v>
      </c>
      <c r="C13" s="13">
        <f>Raw_Data!B16/Raw_Data!B9</f>
        <v>0.34346446232194255</v>
      </c>
      <c r="D13" s="13">
        <f>Raw_Data!C16/Raw_Data!C9</f>
        <v>0.33549324923622748</v>
      </c>
      <c r="E13" s="13">
        <f>Raw_Data!D16/Raw_Data!D9</f>
        <v>0.29276782851646588</v>
      </c>
      <c r="F13" s="12" t="str">
        <f>IF(E13&gt;C13,"Improving","Declining")</f>
        <v>Declining</v>
      </c>
      <c r="G13" s="32" t="s">
        <v>65</v>
      </c>
      <c r="H13" s="13">
        <f>(D13-C13)/C13</f>
        <v>-2.3208261582077016E-2</v>
      </c>
      <c r="I13" s="13">
        <f>(E13-D13)/D13</f>
        <v>-0.12735105942378525</v>
      </c>
    </row>
    <row r="15" spans="1:9" ht="15.95" customHeight="1">
      <c r="A15" s="6" t="s">
        <v>66</v>
      </c>
      <c r="B15" s="7"/>
      <c r="C15" s="7"/>
      <c r="D15" s="7"/>
      <c r="E15" s="7"/>
      <c r="F15" s="7"/>
      <c r="G15" s="7"/>
      <c r="H15" s="7"/>
      <c r="I15" s="7"/>
    </row>
    <row r="16" spans="1:9" ht="30" customHeight="1">
      <c r="A16" s="8" t="s">
        <v>67</v>
      </c>
      <c r="B16" s="32" t="s">
        <v>68</v>
      </c>
      <c r="C16" s="11">
        <f>IF(Raw_Data!B8=0,0,Raw_Data!B8/Raw_Data!B9)</f>
        <v>0</v>
      </c>
      <c r="D16" s="11">
        <f>IF(Raw_Data!C8=0,0,Raw_Data!C8/Raw_Data!C9)</f>
        <v>0</v>
      </c>
      <c r="E16" s="11">
        <f>IF(Raw_Data!D8=0,0,Raw_Data!D8/Raw_Data!D9)</f>
        <v>0</v>
      </c>
      <c r="F16" s="12" t="str">
        <f>IF(E16&lt;C16,"Improving",IF(E16=C16,"Stable","Rising"))</f>
        <v>Stable</v>
      </c>
      <c r="G16" s="32" t="s">
        <v>69</v>
      </c>
      <c r="H16" s="13">
        <f>IF(C16=0,0,(D16-C16)/C16)</f>
        <v>0</v>
      </c>
      <c r="I16" s="13">
        <f>IF(D16=0,0,(E16-D16)/D16)</f>
        <v>0</v>
      </c>
    </row>
    <row r="17" spans="1:9" ht="30" customHeight="1">
      <c r="A17" s="8" t="s">
        <v>70</v>
      </c>
      <c r="B17" s="32" t="s">
        <v>71</v>
      </c>
      <c r="C17" s="11">
        <f>IF(Raw_Data!B8=0,0,Raw_Data!B8/Raw_Data!B6)</f>
        <v>0</v>
      </c>
      <c r="D17" s="11">
        <f>IF(Raw_Data!C8=0,0,Raw_Data!C8/Raw_Data!C6)</f>
        <v>0</v>
      </c>
      <c r="E17" s="11">
        <f>IF(Raw_Data!D8=0,0,Raw_Data!D8/Raw_Data!D6)</f>
        <v>0</v>
      </c>
      <c r="F17" s="12" t="str">
        <f>IF(E17&lt;C17,"Improving",IF(E17=C17,"Stable","Rising"))</f>
        <v>Stable</v>
      </c>
      <c r="G17" s="32" t="s">
        <v>72</v>
      </c>
      <c r="H17" s="13">
        <f>IF(C17=0,0,(D17-C17)/C17)</f>
        <v>0</v>
      </c>
      <c r="I17" s="13">
        <f>IF(D17=0,0,(E17-D17)/D17)</f>
        <v>0</v>
      </c>
    </row>
    <row r="18" spans="1:9" ht="30" customHeight="1">
      <c r="A18" s="8" t="s">
        <v>73</v>
      </c>
      <c r="B18" s="32" t="s">
        <v>74</v>
      </c>
      <c r="C18" s="11">
        <f>IF(Raw_Data!B15=0,"N/A",Raw_Data!B14/Raw_Data!B15)</f>
        <v>202.54777070063693</v>
      </c>
      <c r="D18" s="11">
        <f>IF(Raw_Data!C15=0,"N/A",Raw_Data!C14/Raw_Data!C15)</f>
        <v>130.79422382671481</v>
      </c>
      <c r="E18" s="11">
        <f>IF(Raw_Data!D15=0,"N/A",Raw_Data!D14/Raw_Data!D15)</f>
        <v>161.36651583710406</v>
      </c>
      <c r="F18" s="12" t="str">
        <f>IF(ISNUMBER(E18),IF(E18&gt;C18,"Improving","Declining"),"See Note")</f>
        <v>Declining</v>
      </c>
      <c r="G18" s="32" t="s">
        <v>75</v>
      </c>
      <c r="H18" s="13">
        <f>IF(OR(NOT(ISNUMBER(C18)),NOT(ISNUMBER(D18))),"-",(D18-C18)/C18)</f>
        <v>-0.35425493267942681</v>
      </c>
      <c r="I18" s="13">
        <f>IF(OR(NOT(ISNUMBER(D18)),NOT(ISNUMBER(E18))),"-",(E18-D18)/D18)</f>
        <v>0.23374344153678778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J52:M66"/>
  <sheetViews>
    <sheetView workbookViewId="0">
      <selection activeCell="K53" sqref="K53"/>
    </sheetView>
  </sheetViews>
  <sheetFormatPr defaultRowHeight="15"/>
  <cols>
    <col min="10" max="10" width="21.5703125" bestFit="1" customWidth="1"/>
  </cols>
  <sheetData>
    <row r="52" spans="10:13">
      <c r="K52" t="s">
        <v>14</v>
      </c>
      <c r="L52" t="s">
        <v>15</v>
      </c>
      <c r="M52" t="s">
        <v>16</v>
      </c>
    </row>
    <row r="53" spans="10:13">
      <c r="J53" t="s">
        <v>41</v>
      </c>
      <c r="K53">
        <f>Ratios_Calc!C4</f>
        <v>1.8978937395233584</v>
      </c>
      <c r="L53">
        <f>Ratios_Calc!D4</f>
        <v>2.6195082330355164</v>
      </c>
      <c r="M53">
        <f>Ratios_Calc!E4</f>
        <v>2.4295699263270576</v>
      </c>
    </row>
    <row r="54" spans="10:13">
      <c r="J54" t="s">
        <v>44</v>
      </c>
      <c r="K54">
        <f>Ratios_Calc!C5</f>
        <v>1.8978937395233584</v>
      </c>
      <c r="L54">
        <f>Ratios_Calc!D5</f>
        <v>2.6195082330355164</v>
      </c>
      <c r="M54">
        <f>Ratios_Calc!E5</f>
        <v>2.4295699263270576</v>
      </c>
    </row>
    <row r="55" spans="10:13">
      <c r="J55" t="s">
        <v>47</v>
      </c>
      <c r="K55">
        <f>Ratios_Calc!C6</f>
        <v>0.23810217914146201</v>
      </c>
      <c r="L55">
        <f>Ratios_Calc!D6</f>
        <v>0.30240714760392823</v>
      </c>
      <c r="M55">
        <f>Ratios_Calc!E6</f>
        <v>0.44912159183930483</v>
      </c>
    </row>
    <row r="58" spans="10:13">
      <c r="K58" t="s">
        <v>14</v>
      </c>
      <c r="L58" t="s">
        <v>15</v>
      </c>
      <c r="M58" t="s">
        <v>16</v>
      </c>
    </row>
    <row r="59" spans="10:13">
      <c r="J59" t="s">
        <v>51</v>
      </c>
      <c r="K59">
        <f>Ratios_Calc!C9</f>
        <v>0.33991323560243197</v>
      </c>
      <c r="L59">
        <f>Ratios_Calc!D9</f>
        <v>0.35022841320685938</v>
      </c>
      <c r="M59">
        <f>Ratios_Calc!E9</f>
        <v>0.36439176525711608</v>
      </c>
    </row>
    <row r="60" spans="10:13">
      <c r="J60" t="s">
        <v>54</v>
      </c>
      <c r="K60">
        <f>Ratios_Calc!C10</f>
        <v>0.25642266195752095</v>
      </c>
      <c r="L60">
        <f>Ratios_Calc!D10</f>
        <v>0.2809986582178341</v>
      </c>
      <c r="M60">
        <f>Ratios_Calc!E10</f>
        <v>0.2610841044863535</v>
      </c>
    </row>
    <row r="61" spans="10:13">
      <c r="J61" t="s">
        <v>57</v>
      </c>
      <c r="K61">
        <f>Ratios_Calc!C11</f>
        <v>0.18762397793797475</v>
      </c>
      <c r="L61">
        <f>Ratios_Calc!D11</f>
        <v>0.21122598558941466</v>
      </c>
      <c r="M61">
        <f>Ratios_Calc!E11</f>
        <v>0.18718519386201241</v>
      </c>
    </row>
    <row r="64" spans="10:13">
      <c r="K64" t="s">
        <v>14</v>
      </c>
      <c r="L64" t="s">
        <v>15</v>
      </c>
      <c r="M64" t="s">
        <v>16</v>
      </c>
    </row>
    <row r="65" spans="10:13">
      <c r="J65" t="s">
        <v>67</v>
      </c>
      <c r="K65">
        <f>Ratios_Calc!C16</f>
        <v>0</v>
      </c>
      <c r="L65">
        <f>Ratios_Calc!D16</f>
        <v>0</v>
      </c>
      <c r="M65">
        <f>Ratios_Calc!E16</f>
        <v>0</v>
      </c>
    </row>
    <row r="66" spans="10:13">
      <c r="J66" t="s">
        <v>70</v>
      </c>
      <c r="K66">
        <f>Ratios_Calc!C17</f>
        <v>0</v>
      </c>
      <c r="L66">
        <f>Ratios_Calc!D17</f>
        <v>0</v>
      </c>
      <c r="M66">
        <f>Ratios_Calc!E17</f>
        <v>0</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8"/>
  <sheetViews>
    <sheetView workbookViewId="0">
      <selection activeCell="A3" sqref="A3:B3"/>
    </sheetView>
  </sheetViews>
  <sheetFormatPr defaultRowHeight="15"/>
  <cols>
    <col min="1" max="1" width="8" customWidth="1"/>
    <col min="2" max="2" width="90" customWidth="1"/>
  </cols>
  <sheetData>
    <row r="1" spans="1:2" ht="21.95" customHeight="1">
      <c r="A1" s="20" t="s">
        <v>76</v>
      </c>
      <c r="B1" s="36"/>
    </row>
    <row r="3" spans="1:2" ht="18" customHeight="1">
      <c r="A3" s="37" t="s">
        <v>77</v>
      </c>
      <c r="B3" s="36"/>
    </row>
    <row r="4" spans="1:2" ht="39.950000000000003" customHeight="1">
      <c r="A4" s="14" t="s">
        <v>78</v>
      </c>
      <c r="B4" s="15" t="s">
        <v>79</v>
      </c>
    </row>
    <row r="5" spans="1:2" ht="39.950000000000003" customHeight="1">
      <c r="A5" s="14" t="s">
        <v>80</v>
      </c>
      <c r="B5" s="15" t="s">
        <v>81</v>
      </c>
    </row>
    <row r="6" spans="1:2" ht="39.950000000000003" customHeight="1">
      <c r="A6" s="14" t="s">
        <v>82</v>
      </c>
      <c r="B6" s="15" t="s">
        <v>83</v>
      </c>
    </row>
    <row r="8" spans="1:2" ht="18" customHeight="1">
      <c r="A8" s="37" t="s">
        <v>84</v>
      </c>
      <c r="B8" s="36"/>
    </row>
    <row r="9" spans="1:2" ht="46.5" customHeight="1">
      <c r="A9" s="14" t="s">
        <v>85</v>
      </c>
      <c r="B9" s="15" t="s">
        <v>86</v>
      </c>
    </row>
    <row r="10" spans="1:2" ht="48.75" customHeight="1">
      <c r="A10" s="14" t="s">
        <v>87</v>
      </c>
      <c r="B10" s="15" t="s">
        <v>88</v>
      </c>
    </row>
    <row r="11" spans="1:2" ht="53.25" customHeight="1">
      <c r="A11" s="14" t="s">
        <v>89</v>
      </c>
      <c r="B11" s="15" t="s">
        <v>90</v>
      </c>
    </row>
    <row r="12" spans="1:2" ht="50.25" customHeight="1">
      <c r="A12" s="14" t="s">
        <v>91</v>
      </c>
      <c r="B12" s="15" t="s">
        <v>92</v>
      </c>
    </row>
    <row r="14" spans="1:2" ht="18" customHeight="1">
      <c r="A14" s="37" t="s">
        <v>93</v>
      </c>
      <c r="B14" s="36"/>
    </row>
    <row r="15" spans="1:2" ht="66.75" customHeight="1">
      <c r="A15" s="14" t="s">
        <v>91</v>
      </c>
      <c r="B15" s="15" t="s">
        <v>94</v>
      </c>
    </row>
    <row r="17" spans="1:2" ht="18" customHeight="1">
      <c r="A17" s="37" t="s">
        <v>95</v>
      </c>
      <c r="B17" s="36"/>
    </row>
    <row r="18" spans="1:2" ht="115.5" customHeight="1">
      <c r="A18" s="21" t="s">
        <v>96</v>
      </c>
      <c r="B18" s="36"/>
    </row>
  </sheetData>
  <mergeCells count="6">
    <mergeCell ref="A14:B14"/>
    <mergeCell ref="A1:B1"/>
    <mergeCell ref="A17:B17"/>
    <mergeCell ref="A18:B18"/>
    <mergeCell ref="A8:B8"/>
    <mergeCell ref="A3:B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B26"/>
  <sheetViews>
    <sheetView tabSelected="1" workbookViewId="0">
      <selection activeCell="H19" sqref="H19"/>
    </sheetView>
  </sheetViews>
  <sheetFormatPr defaultRowHeight="15"/>
  <cols>
    <col min="1" max="1" width="30.140625" bestFit="1" customWidth="1"/>
    <col min="2" max="2" width="60" customWidth="1"/>
  </cols>
  <sheetData>
    <row r="1" spans="1:2" ht="21.95" customHeight="1">
      <c r="A1" s="24" t="s">
        <v>97</v>
      </c>
      <c r="B1" s="36"/>
    </row>
    <row r="2" spans="1:2" ht="21.95" customHeight="1">
      <c r="A2" s="22" t="s">
        <v>98</v>
      </c>
      <c r="B2" s="36"/>
    </row>
    <row r="3" spans="1:2" ht="21.95" customHeight="1">
      <c r="A3" s="29" t="s">
        <v>99</v>
      </c>
      <c r="B3" s="38"/>
    </row>
    <row r="4" spans="1:2">
      <c r="A4" s="39" t="s">
        <v>100</v>
      </c>
      <c r="B4" s="36"/>
    </row>
    <row r="5" spans="1:2" ht="18" customHeight="1">
      <c r="A5" s="23" t="s">
        <v>101</v>
      </c>
      <c r="B5" s="36"/>
    </row>
    <row r="6" spans="1:2" ht="35.1" customHeight="1">
      <c r="A6" s="25" t="s">
        <v>102</v>
      </c>
      <c r="B6" s="36"/>
    </row>
    <row r="7" spans="1:2">
      <c r="A7" s="39" t="s">
        <v>100</v>
      </c>
      <c r="B7" s="36"/>
    </row>
    <row r="8" spans="1:2" ht="18" customHeight="1">
      <c r="A8" s="23" t="s">
        <v>103</v>
      </c>
      <c r="B8" s="36"/>
    </row>
    <row r="9" spans="1:2" ht="18" customHeight="1">
      <c r="A9" s="17" t="s">
        <v>104</v>
      </c>
      <c r="B9" s="16" t="str">
        <f>Ratios_Calc!E4&amp;"x"</f>
        <v>2.42956992632706x</v>
      </c>
    </row>
    <row r="10" spans="1:2" ht="18" customHeight="1">
      <c r="A10" s="17" t="s">
        <v>105</v>
      </c>
      <c r="B10" s="16" t="str">
        <f>Ratios_Calc!E5&amp;"x"</f>
        <v>2.42956992632706x</v>
      </c>
    </row>
    <row r="11" spans="1:2" ht="18" customHeight="1">
      <c r="A11" s="17" t="s">
        <v>106</v>
      </c>
      <c r="B11" s="16" t="str">
        <f>TEXT(Ratios_Calc!E11,"0.0%")</f>
        <v>18.7%</v>
      </c>
    </row>
    <row r="12" spans="1:2" ht="18" customHeight="1">
      <c r="A12" s="17" t="s">
        <v>107</v>
      </c>
      <c r="B12" s="16" t="str">
        <f>TEXT(Ratios_Calc!E13,"0.0%")</f>
        <v>29.3%</v>
      </c>
    </row>
    <row r="13" spans="1:2" ht="18" customHeight="1">
      <c r="A13" s="17" t="s">
        <v>108</v>
      </c>
      <c r="B13" s="16" t="str">
        <f>Ratios_Calc!E16&amp;"x"</f>
        <v>0x</v>
      </c>
    </row>
    <row r="14" spans="1:2">
      <c r="A14" s="39" t="s">
        <v>100</v>
      </c>
      <c r="B14" s="36"/>
    </row>
    <row r="15" spans="1:2" ht="18" customHeight="1">
      <c r="A15" s="23" t="s">
        <v>109</v>
      </c>
      <c r="B15" s="36"/>
    </row>
    <row r="16" spans="1:2" ht="39.950000000000003" customHeight="1">
      <c r="A16" s="17" t="s">
        <v>110</v>
      </c>
      <c r="B16" s="15" t="s">
        <v>111</v>
      </c>
    </row>
    <row r="17" spans="1:2" ht="39.950000000000003" customHeight="1">
      <c r="A17" s="17" t="s">
        <v>112</v>
      </c>
      <c r="B17" s="15" t="s">
        <v>113</v>
      </c>
    </row>
    <row r="18" spans="1:2" ht="39.950000000000003" customHeight="1">
      <c r="A18" s="17" t="s">
        <v>114</v>
      </c>
      <c r="B18" s="15" t="s">
        <v>115</v>
      </c>
    </row>
    <row r="19" spans="1:2" ht="39.950000000000003" customHeight="1">
      <c r="A19" s="17" t="s">
        <v>116</v>
      </c>
      <c r="B19" s="15" t="s">
        <v>117</v>
      </c>
    </row>
    <row r="20" spans="1:2" ht="39.950000000000003" customHeight="1">
      <c r="A20" s="17" t="s">
        <v>118</v>
      </c>
      <c r="B20" s="15" t="s">
        <v>119</v>
      </c>
    </row>
    <row r="21" spans="1:2">
      <c r="A21" s="39" t="s">
        <v>100</v>
      </c>
      <c r="B21" s="36"/>
    </row>
    <row r="22" spans="1:2" ht="18" customHeight="1">
      <c r="A22" s="23" t="s">
        <v>120</v>
      </c>
      <c r="B22" s="36"/>
    </row>
    <row r="23" spans="1:2" ht="90.75" customHeight="1">
      <c r="A23" s="21" t="s">
        <v>121</v>
      </c>
      <c r="B23" s="36"/>
    </row>
    <row r="24" spans="1:2">
      <c r="A24" s="39" t="s">
        <v>100</v>
      </c>
      <c r="B24" s="36"/>
    </row>
    <row r="25" spans="1:2">
      <c r="A25" s="40" t="s">
        <v>122</v>
      </c>
      <c r="B25" s="38"/>
    </row>
    <row r="26" spans="1:2">
      <c r="A26" s="40" t="s">
        <v>123</v>
      </c>
      <c r="B26" s="38"/>
    </row>
  </sheetData>
  <mergeCells count="16">
    <mergeCell ref="A1:B1"/>
    <mergeCell ref="A23:B23"/>
    <mergeCell ref="A8:B8"/>
    <mergeCell ref="A3:B3"/>
    <mergeCell ref="A6:B6"/>
    <mergeCell ref="A22:B22"/>
    <mergeCell ref="A4:B4"/>
    <mergeCell ref="A26:B26"/>
    <mergeCell ref="A21:B21"/>
    <mergeCell ref="A2:B2"/>
    <mergeCell ref="A24:B24"/>
    <mergeCell ref="A15:B15"/>
    <mergeCell ref="A7:B7"/>
    <mergeCell ref="A25:B25"/>
    <mergeCell ref="A5:B5"/>
    <mergeCell ref="A14:B14"/>
  </mergeCell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6"/>
  <sheetViews>
    <sheetView workbookViewId="0"/>
  </sheetViews>
  <sheetFormatPr defaultRowHeight="15"/>
  <cols>
    <col min="1" max="1" width="5" customWidth="1"/>
    <col min="2" max="2" width="36" customWidth="1"/>
    <col min="3" max="3" width="45" customWidth="1"/>
    <col min="4" max="4" width="12" customWidth="1"/>
    <col min="5" max="5" width="55" customWidth="1"/>
  </cols>
  <sheetData>
    <row r="1" spans="1:5">
      <c r="A1" s="10" t="s">
        <v>124</v>
      </c>
      <c r="B1" s="10" t="s">
        <v>125</v>
      </c>
      <c r="C1" s="10" t="s">
        <v>126</v>
      </c>
      <c r="D1" s="10" t="s">
        <v>127</v>
      </c>
      <c r="E1" s="10" t="s">
        <v>128</v>
      </c>
    </row>
    <row r="2" spans="1:5" ht="15.95" customHeight="1">
      <c r="A2" s="18">
        <v>1</v>
      </c>
      <c r="B2" s="8" t="s">
        <v>129</v>
      </c>
      <c r="C2" s="8" t="s">
        <v>130</v>
      </c>
      <c r="D2" s="8" t="s">
        <v>131</v>
      </c>
      <c r="E2" s="8" t="s">
        <v>132</v>
      </c>
    </row>
    <row r="3" spans="1:5" ht="15.95" customHeight="1">
      <c r="A3" s="18">
        <v>2</v>
      </c>
      <c r="B3" s="8" t="s">
        <v>133</v>
      </c>
      <c r="C3" s="8" t="s">
        <v>130</v>
      </c>
      <c r="D3" s="8" t="s">
        <v>134</v>
      </c>
      <c r="E3" s="8" t="s">
        <v>132</v>
      </c>
    </row>
    <row r="4" spans="1:5" ht="15.95" customHeight="1">
      <c r="A4" s="18">
        <v>3</v>
      </c>
      <c r="B4" s="8" t="s">
        <v>135</v>
      </c>
      <c r="C4" s="8" t="s">
        <v>136</v>
      </c>
      <c r="D4" s="8" t="s">
        <v>137</v>
      </c>
      <c r="E4" s="8" t="s">
        <v>132</v>
      </c>
    </row>
    <row r="5" spans="1:5" ht="15.95" customHeight="1">
      <c r="A5" s="18">
        <v>4</v>
      </c>
      <c r="B5" s="8" t="s">
        <v>138</v>
      </c>
      <c r="C5" s="8" t="s">
        <v>136</v>
      </c>
      <c r="D5" s="8" t="s">
        <v>139</v>
      </c>
      <c r="E5" s="8" t="s">
        <v>132</v>
      </c>
    </row>
    <row r="6" spans="1:5" ht="15.95" customHeight="1">
      <c r="A6" s="18">
        <v>5</v>
      </c>
      <c r="B6" s="8" t="s">
        <v>140</v>
      </c>
      <c r="C6" s="8" t="s">
        <v>141</v>
      </c>
      <c r="D6" s="8" t="s">
        <v>142</v>
      </c>
      <c r="E6" s="8" t="s">
        <v>132</v>
      </c>
    </row>
    <row r="7" spans="1:5" ht="15.95" customHeight="1">
      <c r="A7" s="18">
        <v>6</v>
      </c>
      <c r="B7" s="8" t="s">
        <v>143</v>
      </c>
      <c r="C7" s="8" t="s">
        <v>141</v>
      </c>
      <c r="D7" s="8" t="s">
        <v>144</v>
      </c>
      <c r="E7" s="8" t="s">
        <v>132</v>
      </c>
    </row>
    <row r="10" spans="1:5">
      <c r="A10" s="41" t="s">
        <v>145</v>
      </c>
      <c r="B10" s="36"/>
      <c r="C10" s="36"/>
      <c r="D10" s="36"/>
      <c r="E10" s="36"/>
    </row>
    <row r="11" spans="1:5" ht="39.950000000000003" customHeight="1">
      <c r="A11" s="25" t="s">
        <v>146</v>
      </c>
      <c r="B11" s="36"/>
      <c r="C11" s="36"/>
      <c r="D11" s="36"/>
      <c r="E11" s="36"/>
    </row>
    <row r="12" spans="1:5" ht="39.950000000000003" customHeight="1">
      <c r="A12" s="25" t="s">
        <v>147</v>
      </c>
      <c r="B12" s="36"/>
      <c r="C12" s="36"/>
      <c r="D12" s="36"/>
      <c r="E12" s="36"/>
    </row>
    <row r="13" spans="1:5" ht="39.950000000000003" customHeight="1">
      <c r="A13" s="25" t="s">
        <v>148</v>
      </c>
      <c r="B13" s="36"/>
      <c r="C13" s="36"/>
      <c r="D13" s="36"/>
      <c r="E13" s="36"/>
    </row>
    <row r="14" spans="1:5" ht="39.950000000000003" customHeight="1">
      <c r="A14" s="25" t="s">
        <v>149</v>
      </c>
      <c r="B14" s="36"/>
      <c r="C14" s="36"/>
      <c r="D14" s="36"/>
      <c r="E14" s="36"/>
    </row>
    <row r="15" spans="1:5" ht="39.950000000000003" customHeight="1">
      <c r="A15" s="25" t="s">
        <v>150</v>
      </c>
      <c r="B15" s="36"/>
      <c r="C15" s="36"/>
      <c r="D15" s="36"/>
      <c r="E15" s="36"/>
    </row>
    <row r="16" spans="1:5" ht="39.950000000000003" customHeight="1">
      <c r="A16" s="25" t="s">
        <v>151</v>
      </c>
      <c r="B16" s="36"/>
      <c r="C16" s="36"/>
      <c r="D16" s="36"/>
      <c r="E16" s="36"/>
    </row>
  </sheetData>
  <mergeCells count="7">
    <mergeCell ref="A12:E12"/>
    <mergeCell ref="A16:E16"/>
    <mergeCell ref="A15:E15"/>
    <mergeCell ref="A10:E10"/>
    <mergeCell ref="A11:E11"/>
    <mergeCell ref="A13:E13"/>
    <mergeCell ref="A14:E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2026-05-14T09:46:17Z</dcterms:created>
  <dcterms:modified xsi:type="dcterms:W3CDTF">2026-05-14T10:45:07Z</dcterms:modified>
  <cp:category/>
  <cp:contentStatus/>
</cp:coreProperties>
</file>